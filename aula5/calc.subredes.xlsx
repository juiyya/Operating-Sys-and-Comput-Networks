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sfiap\Desktop\"/>
    </mc:Choice>
  </mc:AlternateContent>
  <xr:revisionPtr revIDLastSave="0" documentId="8_{04C9755D-5FE0-4B33-9268-FADA3491FE91}" xr6:coauthVersionLast="47" xr6:coauthVersionMax="47" xr10:uidLastSave="{00000000-0000-0000-0000-000000000000}"/>
  <bookViews>
    <workbookView xWindow="-120" yWindow="-120" windowWidth="19440" windowHeight="14880" xr2:uid="{B1E8FFF8-7D84-40F4-8B23-318BB01C7E9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<sst xmlns="http://schemas.openxmlformats.org/spreadsheetml/2006/main" count="82" uniqueCount="66">
  <si>
    <t>IP</t>
  </si>
  <si>
    <t>MÁSCARA</t>
  </si>
  <si>
    <t>192.168.10.0</t>
  </si>
  <si>
    <t>255.255.255.192</t>
  </si>
  <si>
    <t>INT. ENTRE AS SUB-REDES = 256 - 192 = 64 (DO 4o OCTETO)</t>
  </si>
  <si>
    <t>END. REDE</t>
  </si>
  <si>
    <t>1o END. HOST</t>
  </si>
  <si>
    <t>ULT. END. HOST</t>
  </si>
  <si>
    <t>BROADCAST</t>
  </si>
  <si>
    <t>Column1</t>
  </si>
  <si>
    <t>Column2</t>
  </si>
  <si>
    <t>Column3</t>
  </si>
  <si>
    <t>Column4</t>
  </si>
  <si>
    <t>192.168.10.64</t>
  </si>
  <si>
    <t>192.168.10.128</t>
  </si>
  <si>
    <t>192.168.11.0</t>
  </si>
  <si>
    <t>192.169.10.192</t>
  </si>
  <si>
    <t>192.168.11.1</t>
  </si>
  <si>
    <t>192.168.10.63</t>
  </si>
  <si>
    <t>192.168.10.127</t>
  </si>
  <si>
    <t>192.168.10.191</t>
  </si>
  <si>
    <t>192.168.10.255</t>
  </si>
  <si>
    <t>192.168.10.1</t>
  </si>
  <si>
    <t>192.168.10.65</t>
  </si>
  <si>
    <t>192.168.10.129</t>
  </si>
  <si>
    <t>192.168.10.193</t>
  </si>
  <si>
    <t>192.168.10.62</t>
  </si>
  <si>
    <t>192.168.10.126</t>
  </si>
  <si>
    <t>192.168.10.190</t>
  </si>
  <si>
    <t>192.168.10.254</t>
  </si>
  <si>
    <t>INT. ENTRE AS SUB-REDES = 256 - 240 = 16 (3° OCTETO)</t>
  </si>
  <si>
    <t>172.16.0.0</t>
  </si>
  <si>
    <t>172.16.16.0</t>
  </si>
  <si>
    <t>172.16.32.0</t>
  </si>
  <si>
    <t>172.16.48.0</t>
  </si>
  <si>
    <t>172.16.0.1</t>
  </si>
  <si>
    <t>172.16.15.255</t>
  </si>
  <si>
    <t>172.16.16.1</t>
  </si>
  <si>
    <t>172.16.32.1</t>
  </si>
  <si>
    <t>172.16.48.1</t>
  </si>
  <si>
    <t>172.16.31.255</t>
  </si>
  <si>
    <t>172.16.31.254</t>
  </si>
  <si>
    <t>172.16.15.254</t>
  </si>
  <si>
    <t>172.16.47.254</t>
  </si>
  <si>
    <t>172.16.47.255</t>
  </si>
  <si>
    <t>INTERVALO ENTRE AS REDES = 256 - VALOR DA MÁSCARA DA DIREITA PARA A ESQUERDA E QUE N SEJA 0</t>
  </si>
  <si>
    <t>INT ENTRE AS SUBREDES = 256 - 224 = 32 (4° OCTETO)</t>
  </si>
  <si>
    <t>192.168.5.0</t>
  </si>
  <si>
    <t>192.168.5.32</t>
  </si>
  <si>
    <t>192.168.5.33</t>
  </si>
  <si>
    <t>192.168.5.64</t>
  </si>
  <si>
    <t>192.168.5.65</t>
  </si>
  <si>
    <t>192.168.5.96</t>
  </si>
  <si>
    <t>192.168.5.97</t>
  </si>
  <si>
    <t>192.168.5.128</t>
  </si>
  <si>
    <t>192.168.5.1</t>
  </si>
  <si>
    <t>192.168.5.129</t>
  </si>
  <si>
    <t>192.168.5.31</t>
  </si>
  <si>
    <t>192.168.5.63</t>
  </si>
  <si>
    <t>192.168.5.95</t>
  </si>
  <si>
    <t>192.168.5.127</t>
  </si>
  <si>
    <t>255.255.255.224</t>
  </si>
  <si>
    <t>192.168.5.30</t>
  </si>
  <si>
    <t>192.168.5.62</t>
  </si>
  <si>
    <t>192.168.5.94</t>
  </si>
  <si>
    <t>192.168.5.126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</si>
</sst>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Font="1" applyBorder="1"/>
    <xf numFmtId="0" fontId="0" fillId="0" borderId="1" xfId="0" applyFont="1" applyBorder="1"/>
    <xf numFmtId="0" fontId="0" fillId="0" borderId="6" xfId="0" applyFont="1" applyBorder="1"/>
    <xf numFmtId="0" fontId="0" fillId="2" borderId="1" xfId="0" applyFont="1" applyFill="1" applyBorder="1"/>
    <xf numFmtId="0" fontId="0" fillId="2" borderId="5" xfId="0" applyFont="1" applyFill="1" applyBorder="1"/>
    <xf numFmtId="0" fontId="1" fillId="0" borderId="0" xfId="0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A8923-AA01-403B-9BB7-4E52EA869229}" name="Table1" displayName="Table1" ref="A9:D15" totalsRowShown="0" headerRowDxfId="17" dataDxfId="16" headerRowBorderDxfId="14" tableBorderDxfId="15" totalsRowBorderDxfId="13">
  <autoFilter ref="A9:D15" xr:uid="{6B9A8923-AA01-403B-9BB7-4E52EA869229}"/>
  <tableColumns count="4">
    <tableColumn id="1" xr3:uid="{D984273B-EF68-4AC9-A54F-4359D6B87BE5}" name="Column1" dataDxfId="12"/>
    <tableColumn id="2" xr3:uid="{553EC2B9-4E5E-46EF-A6F7-35BC248BCCDE}" name="Column2" dataDxfId="11"/>
    <tableColumn id="3" xr3:uid="{7CA16698-228C-480A-8873-4411A8F702B9}" name="Column3" dataDxfId="10"/>
    <tableColumn id="4" xr3:uid="{B1AF618F-23A6-4019-800E-E5299BE785AA}" name="Column4" data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628D13-E923-4749-9306-C35117D68C3E}" name="Table15" displayName="Table15" ref="F9:I15" totalsRowShown="0" headerRowDxfId="8" dataDxfId="7" headerRowBorderDxfId="5" tableBorderDxfId="6" totalsRowBorderDxfId="4">
  <autoFilter ref="F9:I15" xr:uid="{57628D13-E923-4749-9306-C35117D68C3E}"/>
  <tableColumns count="4">
    <tableColumn id="1" xr3:uid="{23DD6CAD-5A05-4511-88F3-4BB236D73792}" name="Column1" dataDxfId="3"/>
    <tableColumn id="2" xr3:uid="{88FD722C-9599-48A4-8E28-C5BA463E5458}" name="Column2" dataDxfId="2"/>
    <tableColumn id="3" xr3:uid="{71D7A5F0-6453-41EE-939A-532C249C42DA}" name="Column3" dataDxfId="1"/>
    <tableColumn id="4" xr3:uid="{6024CE2E-FCA2-49AA-A78B-6CE4DB751ECA}" name="Column4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AFEF-912E-4B7F-9416-784C54678AB1}">
  <dimension ref="A1:I27"/>
  <sheetViews>
    <sheetView tabSelected="1" workbookViewId="0">
      <selection activeCell="C28" sqref="C28"/>
    </sheetView>
  </sheetViews>
  <sheetFormatPr defaultRowHeight="15" x14ac:dyDescent="0.25"/>
  <cols>
    <col min="1" max="1" width="19.140625" customWidth="1"/>
    <col min="2" max="2" width="14.85546875" bestFit="1" customWidth="1"/>
    <col min="3" max="3" width="14.7109375" bestFit="1" customWidth="1"/>
    <col min="4" max="4" width="14.140625" customWidth="1"/>
    <col min="6" max="6" width="16.42578125" bestFit="1" customWidth="1"/>
    <col min="7" max="7" width="13.85546875" bestFit="1" customWidth="1"/>
    <col min="8" max="8" width="14.7109375" bestFit="1" customWidth="1"/>
    <col min="9" max="9" width="13.85546875" bestFit="1" customWidth="1"/>
  </cols>
  <sheetData>
    <row r="1" spans="1:9" x14ac:dyDescent="0.25">
      <c r="A1" t="s">
        <v>0</v>
      </c>
      <c r="B1" t="s">
        <v>2</v>
      </c>
    </row>
    <row r="2" spans="1:9" x14ac:dyDescent="0.25">
      <c r="A2" t="s">
        <v>1</v>
      </c>
      <c r="B2" t="s">
        <v>3</v>
      </c>
    </row>
    <row r="4" spans="1:9" x14ac:dyDescent="0.25">
      <c r="A4" t="s">
        <v>45</v>
      </c>
    </row>
    <row r="7" spans="1:9" x14ac:dyDescent="0.25">
      <c r="A7" t="s">
        <v>4</v>
      </c>
      <c r="F7" t="s">
        <v>30</v>
      </c>
    </row>
    <row r="9" spans="1:9" x14ac:dyDescent="0.25">
      <c r="A9" s="2" t="s">
        <v>9</v>
      </c>
      <c r="B9" s="3" t="s">
        <v>10</v>
      </c>
      <c r="C9" s="3" t="s">
        <v>11</v>
      </c>
      <c r="D9" s="4" t="s">
        <v>12</v>
      </c>
      <c r="F9" s="2" t="s">
        <v>9</v>
      </c>
      <c r="G9" s="3" t="s">
        <v>10</v>
      </c>
      <c r="H9" s="3" t="s">
        <v>11</v>
      </c>
      <c r="I9" s="4" t="s">
        <v>12</v>
      </c>
    </row>
    <row r="10" spans="1:9" x14ac:dyDescent="0.25">
      <c r="A10" s="5" t="s">
        <v>5</v>
      </c>
      <c r="B10" s="6" t="s">
        <v>6</v>
      </c>
      <c r="C10" s="6" t="s">
        <v>7</v>
      </c>
      <c r="D10" s="7" t="s">
        <v>8</v>
      </c>
      <c r="F10" s="5" t="s">
        <v>5</v>
      </c>
      <c r="G10" s="6" t="s">
        <v>6</v>
      </c>
      <c r="H10" s="6" t="s">
        <v>7</v>
      </c>
      <c r="I10" s="7" t="s">
        <v>8</v>
      </c>
    </row>
    <row r="11" spans="1:9" x14ac:dyDescent="0.25">
      <c r="A11" s="5" t="s">
        <v>2</v>
      </c>
      <c r="B11" s="6" t="s">
        <v>22</v>
      </c>
      <c r="C11" s="7" t="s">
        <v>26</v>
      </c>
      <c r="D11" s="7" t="s">
        <v>18</v>
      </c>
      <c r="F11" s="5" t="s">
        <v>31</v>
      </c>
      <c r="G11" s="5" t="s">
        <v>35</v>
      </c>
      <c r="H11" s="5" t="s">
        <v>42</v>
      </c>
      <c r="I11" s="5" t="s">
        <v>36</v>
      </c>
    </row>
    <row r="12" spans="1:9" x14ac:dyDescent="0.25">
      <c r="A12" s="5" t="s">
        <v>13</v>
      </c>
      <c r="B12" s="6" t="s">
        <v>23</v>
      </c>
      <c r="C12" s="7" t="s">
        <v>27</v>
      </c>
      <c r="D12" s="7" t="s">
        <v>19</v>
      </c>
      <c r="F12" s="9" t="s">
        <v>32</v>
      </c>
      <c r="G12" s="9" t="s">
        <v>37</v>
      </c>
      <c r="H12" s="8" t="s">
        <v>41</v>
      </c>
      <c r="I12" s="8" t="s">
        <v>40</v>
      </c>
    </row>
    <row r="13" spans="1:9" x14ac:dyDescent="0.25">
      <c r="A13" s="5" t="s">
        <v>14</v>
      </c>
      <c r="B13" s="6" t="s">
        <v>24</v>
      </c>
      <c r="C13" s="7" t="s">
        <v>28</v>
      </c>
      <c r="D13" s="7" t="s">
        <v>20</v>
      </c>
      <c r="F13" s="5" t="s">
        <v>33</v>
      </c>
      <c r="G13" s="5" t="s">
        <v>38</v>
      </c>
      <c r="H13" s="6" t="s">
        <v>43</v>
      </c>
      <c r="I13" s="6" t="s">
        <v>44</v>
      </c>
    </row>
    <row r="14" spans="1:9" x14ac:dyDescent="0.25">
      <c r="A14" s="5" t="s">
        <v>16</v>
      </c>
      <c r="B14" s="6" t="s">
        <v>25</v>
      </c>
      <c r="C14" s="7" t="s">
        <v>29</v>
      </c>
      <c r="D14" s="7" t="s">
        <v>21</v>
      </c>
      <c r="F14" s="5" t="s">
        <v>34</v>
      </c>
      <c r="G14" s="5" t="s">
        <v>39</v>
      </c>
      <c r="H14" s="7"/>
      <c r="I14" s="7"/>
    </row>
    <row r="15" spans="1:9" x14ac:dyDescent="0.25">
      <c r="A15" s="5" t="s">
        <v>15</v>
      </c>
      <c r="B15" s="6" t="s">
        <v>17</v>
      </c>
      <c r="C15" s="6"/>
      <c r="D15" s="7"/>
      <c r="F15" s="5"/>
      <c r="G15" s="6"/>
      <c r="H15" s="6"/>
      <c r="I15" s="7"/>
    </row>
    <row r="16" spans="1:9" x14ac:dyDescent="0.25">
      <c r="A16" s="6"/>
      <c r="B16" s="6"/>
      <c r="C16" s="6"/>
      <c r="D16" s="6"/>
      <c r="F16" s="6"/>
      <c r="G16" s="6"/>
      <c r="H16" s="6"/>
      <c r="I16" s="6"/>
    </row>
    <row r="17" spans="1:9" x14ac:dyDescent="0.25">
      <c r="A17" s="6"/>
      <c r="B17" s="6"/>
      <c r="C17" s="6"/>
      <c r="D17" s="6"/>
      <c r="F17" s="6"/>
      <c r="G17" s="6"/>
      <c r="H17" s="6"/>
      <c r="I17" s="6"/>
    </row>
    <row r="20" spans="1:9" x14ac:dyDescent="0.25">
      <c r="A20" s="1" t="s">
        <v>46</v>
      </c>
      <c r="B20" s="10"/>
      <c r="C20" s="10"/>
      <c r="D20" s="10"/>
    </row>
    <row r="21" spans="1:9" x14ac:dyDescent="0.25">
      <c r="A21" s="10"/>
      <c r="B21" s="1"/>
      <c r="C21" s="10"/>
      <c r="D21" s="10"/>
    </row>
    <row r="22" spans="1:9" x14ac:dyDescent="0.25">
      <c r="A22" s="6" t="s">
        <v>5</v>
      </c>
      <c r="B22" s="6" t="s">
        <v>6</v>
      </c>
      <c r="C22" s="6" t="s">
        <v>7</v>
      </c>
      <c r="D22" s="6" t="s">
        <v>8</v>
      </c>
      <c r="F22" t="s">
        <v>0</v>
      </c>
      <c r="G22" t="s">
        <v>47</v>
      </c>
    </row>
    <row r="23" spans="1:9" x14ac:dyDescent="0.25">
      <c r="A23" s="6" t="s">
        <v>47</v>
      </c>
      <c r="B23" s="6" t="s">
        <v>55</v>
      </c>
      <c r="C23" s="6" t="s">
        <v>62</v>
      </c>
      <c r="D23" s="6" t="s">
        <v>57</v>
      </c>
      <c r="F23" t="s">
        <v>1</v>
      </c>
      <c r="G23" t="s">
        <v>61</v>
      </c>
    </row>
    <row r="24" spans="1:9" x14ac:dyDescent="0.25">
      <c r="A24" s="6" t="s">
        <v>48</v>
      </c>
      <c r="B24" s="6" t="s">
        <v>49</v>
      </c>
      <c r="C24" s="6" t="s">
        <v>63</v>
      </c>
      <c r="D24" s="6" t="s">
        <v>58</v>
      </c>
    </row>
    <row r="25" spans="1:9" x14ac:dyDescent="0.25">
      <c r="A25" s="6" t="s">
        <v>50</v>
      </c>
      <c r="B25" s="6" t="s">
        <v>51</v>
      </c>
      <c r="C25" s="6" t="s">
        <v>64</v>
      </c>
      <c r="D25" s="6" t="s">
        <v>59</v>
      </c>
    </row>
    <row r="26" spans="1:9" x14ac:dyDescent="0.25">
      <c r="A26" s="6" t="s">
        <v>52</v>
      </c>
      <c r="B26" s="6" t="s">
        <v>53</v>
      </c>
      <c r="C26" s="6" t="s">
        <v>65</v>
      </c>
      <c r="D26" s="6" t="s">
        <v>60</v>
      </c>
    </row>
    <row r="27" spans="1:9" x14ac:dyDescent="0.25">
      <c r="A27" s="6" t="s">
        <v>54</v>
      </c>
      <c r="B27" s="6" t="s">
        <v>56</v>
      </c>
      <c r="C27" s="6"/>
      <c r="D27" s="6"/>
    </row>
  </sheetData>
  <phoneticPr fontId="3" type="noConversion"/>
  <pageMargins left="0.7" right="0.7" top="0.75" bottom="0.75" header="0.3" footer="0.3"/>
  <pageSetup orientation="portrait" horizontalDpi="300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8EF4-30E9-4510-B1F0-D1350906506C}">
  <dimension ref="A1:I2"/>
  <sheetViews>
    <sheetView workbookViewId="0">
      <selection activeCell="A3" sqref="A3"/>
    </sheetView>
  </sheetViews>
  <sheetFormatPr defaultRowHeight="15" x14ac:dyDescent="0.25"/>
  <sheetData>
    <row r="1" spans="1:9" x14ac:dyDescent="0.25">
      <c r="B1">
        <v>128</v>
      </c>
      <c r="C1">
        <v>64</v>
      </c>
      <c r="D1">
        <v>32</v>
      </c>
      <c r="E1">
        <v>16</v>
      </c>
      <c r="F1">
        <v>8</v>
      </c>
      <c r="G1">
        <v>4</v>
      </c>
      <c r="H1">
        <v>2</v>
      </c>
      <c r="I1">
        <v>1</v>
      </c>
    </row>
    <row r="2" spans="1:9" x14ac:dyDescent="0.25">
      <c r="A2">
        <f>B2*B1+C1*C2+D1*D2+E1*E2+F1*F2+G1*G2+H1*H2+I1*I2</f>
        <v>240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labsfiap</dc:creator>
  <cp:lastModifiedBy>Laboratório FIAP</cp:lastModifiedBy>
  <dcterms:created xsi:type="dcterms:W3CDTF">2026-09-08T22:49:06Z</dcterms:created>
  <dcterms:modified xsi:type="dcterms:W3CDTF">2026-09-08T23:51:40Z</dcterms:modified>
</cp:coreProperties>
</file>